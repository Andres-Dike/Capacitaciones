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0d9fb799f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ad4262cc5944793"/>
    <x:sheet xmlns:r="http://schemas.openxmlformats.org/officeDocument/2006/relationships" name="Matriz" sheetId="2" r:id="R4171e4a5edef4858"/>
    <x:sheet xmlns:r="http://schemas.openxmlformats.org/officeDocument/2006/relationships" name="Rubrica" sheetId="3" r:id="Rbb990c06e0fd4b21"/>
    <x:sheet xmlns:r="http://schemas.openxmlformats.org/officeDocument/2006/relationships" name="Catalogos" sheetId="4" r:id="Rfc8a05d4044a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"/>
    <x:numFmt numFmtId="203" formatCode="yyyy-mm-dd hh:mm"/>
  </x:numFmts>
  <x:fonts count="8">
    <x:font>
      <x:sz val="11"/>
      <x:name val="Carlito"/>
    </x:font>
    <x:font>
      <x:b/>
      <x:sz val="11"/>
      <x:color rgb="FFFFFF"/>
      <x:name val="Carlito"/>
    </x:font>
    <x:font>
      <x:i/>
      <x:sz val="11"/>
      <x:color rgb="111827"/>
      <x:name val="Carlito"/>
    </x:font>
    <x:font>
      <x:b/>
      <x:sz val="11"/>
      <x:name val="Carlito"/>
    </x:font>
    <x:font>
      <x:b/>
      <x:sz val="10"/>
      <x:color rgb="111827"/>
      <x:name val="Calibri"/>
    </x:font>
    <x:font>
      <x:sz val="10"/>
      <x:color rgb="111827"/>
      <x:name val="Calibri"/>
    </x:font>
    <x:font>
      <x:i/>
      <x:sz val="10"/>
      <x:color rgb="111827"/>
      <x:name val="Calibri"/>
    </x:font>
    <x:font>
      <x:b/>
      <x:sz val="10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D4ED8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horizontal="center"/>
    </x:xf>
    <x:xf numFmtId="203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horizontal="center"/>
    </x:xf>
    <x:xf numFmtId="203" fontId="5" fillId="0" borderId="1" xfId="0" applyNumberFormat="1" applyFont="1" applyFill="1" applyBorder="1"/>
    <x:xf numFmtId="201" fontId="5" fillId="0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horizontal="center" vertical="top" wrapText="1"/>
    </x:xf>
    <x:xf numFmtId="202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horizontal="center" vertical="top" wrapText="1"/>
    </x:xf>
    <x:xf numFmtId="202" fontId="5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ont>
        <x:b/>
      </x:font>
      <x:fill>
        <x:patternFill patternType="solid">
          <x:bgColor rgb="BBF7D0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ont>
        <x:b/>
      </x:font>
      <x:fill>
        <x:patternFill patternType="solid">
          <x:bgColor rgb="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fcf9d638947d3" /><Relationship Type="http://schemas.openxmlformats.org/officeDocument/2006/relationships/theme" Target="/xl/theme/theme1.xml" Id="R60135b8525af43d6" /><Relationship Type="http://schemas.openxmlformats.org/officeDocument/2006/relationships/sharedStrings" Target="/xl/sharedStrings.xml" Id="R90fdb68e4a414fee" /><Relationship Type="http://schemas.openxmlformats.org/officeDocument/2006/relationships/worksheet" Target="/xl/worksheets/sheet1.xml" Id="R5ad4262cc5944793" /><Relationship Type="http://schemas.openxmlformats.org/officeDocument/2006/relationships/worksheet" Target="/xl/worksheets/sheet2.xml" Id="R4171e4a5edef4858" /><Relationship Type="http://schemas.openxmlformats.org/officeDocument/2006/relationships/worksheet" Target="/xl/worksheets/sheet3.xml" Id="Rbb990c06e0fd4b21" /><Relationship Type="http://schemas.openxmlformats.org/officeDocument/2006/relationships/worksheet" Target="/xl/worksheets/sheet4.xml" Id="Rfc8a05d4044a4a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3d4fbebdbe403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Promedio</c:v>
          </c:tx>
          <c:cat>
            <c:strRef>
              <c:f>'Resumen'!$A$15:$A$24</c:f>
              <c:strCache>
                <c:ptCount val="0"/>
              </c:strCache>
            </c:strRef>
          </c:cat>
          <c:val>
            <c:numRef>
              <c:f>'Resumen'!$B$15:$B$24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d4fbebdbe40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Evaluacion" displayName="TablaEvaluacion" ref="A4:K34" headerRowCount="1">
  <x:tableColumns count="11">
    <x:tableColumn id="1" name="ID"/>
    <x:tableColumn id="2" name="Módulo"/>
    <x:tableColumn id="3" name="Criterio de aceptación"/>
    <x:tableColumn id="4" name="Evidencia esperada"/>
    <x:tableColumn id="5" name="Peso"/>
    <x:tableColumn id="6" name="Puntaje 1-5"/>
    <x:tableColumn id="7" name="Resultado ponderado"/>
    <x:tableColumn id="8" name="Estado"/>
    <x:tableColumn id="9" name="Observaciones del líder"/>
    <x:tableColumn id="10" name="Próxima acción"/>
    <x:tableColumn id="11" name="Fecha revis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745076625245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074f687e1c4b0c" /></Relationships>
</file>

<file path=xl/worksheets/sheet1.xml><?xml version="1.0" encoding="utf-8"?>
<x:worksheet xmlns:x="http://schemas.openxmlformats.org/spreadsheetml/2006/main">
  <x:sheetFormatPr defaultRowHeight="15"/>
  <x:cols>
    <x:col min="4" max="4" width="16" hidden="0" customWidth="1"/>
    <x:col min="5" max="5" width="14" hidden="0" customWidth="1"/>
    <x:col min="6" max="6" width="55" hidden="0" customWidth="1"/>
    <x:col min="1" max="1" width="42" hidden="0" customWidth="1"/>
    <x:col min="2" max="2" width="16" hidden="0" customWidth="1"/>
    <x:col min="3" max="3" width="16" hidden="0" customWidth="1"/>
  </x:cols>
  <x:sheetData>
    <x:row r="1">
      <x:c r="A1" s="88" t="str">
        <x:v>Resumen ejecutivo de progreso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90" t="str">
        <x:v>Indicador</x:v>
      </x:c>
      <x:c r="B3" s="90" t="str">
        <x:v>Valor</x:v>
      </x:c>
      <x:c r="C3" s="57"/>
      <x:c r="D3" s="90" t="str">
        <x:v>Guía de interpretación</x:v>
      </x:c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9" t="str">
        <x:v>Criterios evaluados</x:v>
      </x:c>
      <x:c r="B4" s="60" t="n">
        <x:f>COUNT(Matriz!F5:F34)</x:f>
        <x:v>0</x:v>
      </x:c>
      <x:c r="C4" s="57"/>
      <x:c r="D4" s="61" t="str">
        <x:v>1.00 - 1.99</x:v>
      </x:c>
      <x:c r="E4" s="61" t="str">
        <x:v>Inicial</x:v>
      </x:c>
      <x:c r="F4" s="61" t="str">
        <x:v>Requiere acompañamiento cercano y refuerzo de fundamentos.</x:v>
      </x:c>
      <x:c r="G4" s="61" t="str"/>
      <x:c r="H4" s="61" t="str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9" t="str">
        <x:v>Criterios pendientes</x:v>
      </x:c>
      <x:c r="B5" s="60" t="n">
        <x:f>COUNTBLANK(Matriz!F5:F34)</x:f>
        <x:v>30</x:v>
      </x:c>
      <x:c r="C5" s="57"/>
      <x:c r="D5" s="61" t="str">
        <x:v>2.00 - 2.99</x:v>
      </x:c>
      <x:c r="E5" s="61" t="str">
        <x:v>Básico</x:v>
      </x:c>
      <x:c r="F5" s="61" t="str">
        <x:v>Hay avance, pero todavía no alcanza autonomía mínima.</x:v>
      </x:c>
      <x:c r="G5" s="61" t="str"/>
      <x:c r="H5" s="61" t="str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9" t="str">
        <x:v>Promedio simple</x:v>
      </x:c>
      <x:c r="B6" s="62" t="str">
        <x:f>IFERROR(AVERAGE(Matriz!F5:F34),"")</x:f>
      </x:c>
      <x:c r="C6" s="57"/>
      <x:c r="D6" s="61" t="str">
        <x:v>3.00 - 3.99</x:v>
      </x:c>
      <x:c r="E6" s="61" t="str">
        <x:v>Aceptable</x:v>
      </x:c>
      <x:c r="F6" s="61" t="str">
        <x:v>Puede continuar con tareas acotadas y revisión frecuente.</x:v>
      </x:c>
      <x:c r="G6" s="61" t="str"/>
      <x:c r="H6" s="61" t="str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9" t="str">
        <x:v>Promedio ponderado</x:v>
      </x:c>
      <x:c r="B7" s="62" t="str">
        <x:f>IFERROR(SUM(Matriz!G5:G34)/SUMIF(Matriz!F5:F34,"&gt;0",Matriz!E5:E34),"")</x:f>
      </x:c>
      <x:c r="C7" s="57"/>
      <x:c r="D7" s="61" t="str">
        <x:v>4.00 - 4.49</x:v>
      </x:c>
      <x:c r="E7" s="61" t="str">
        <x:v>Bueno</x:v>
      </x:c>
      <x:c r="F7" s="61" t="str">
        <x:v>Puede asumir tareas pequeñas con seguimiento periódico.</x:v>
      </x:c>
      <x:c r="G7" s="61" t="str"/>
      <x:c r="H7" s="61" t="str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9" t="str">
        <x:v>Estado general</x:v>
      </x:c>
      <x:c r="B8" s="60" t="str">
        <x:f>IF(B7="","Pendiente",IF(B7&lt;3,"Reforzar",IF(B7&lt;4,"Aceptable",IF(B7&lt;5,"Bueno","Sólido"))))</x:f>
        <x:v>Pendiente</x:v>
      </x:c>
      <x:c r="C8" s="57"/>
      <x:c r="D8" s="61" t="str">
        <x:v>4.50 - 5.00</x:v>
      </x:c>
      <x:c r="E8" s="61" t="str">
        <x:v>Sólido</x:v>
      </x:c>
      <x:c r="F8" s="61" t="str">
        <x:v>Puede integrarse progresivamente a tareas de mayor responsabilidad.</x:v>
      </x:c>
      <x:c r="G8" s="61" t="str"/>
      <x:c r="H8" s="61" t="str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9" t="str">
        <x:v>Criterios en reforzar</x:v>
      </x:c>
      <x:c r="B9" s="60" t="n">
        <x:f>COUNTIF(Matriz!H5:H34,"Reforzar")</x:f>
        <x:v>0</x:v>
      </x:c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9" t="str">
        <x:v>Criterios sólidos</x:v>
      </x:c>
      <x:c r="B10" s="60" t="n">
        <x:f>COUNTIF(Matriz!H5:H34,"Sólido")</x:f>
        <x:v>0</x:v>
      </x:c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9" t="str">
        <x:v>Última actualización</x:v>
      </x:c>
      <x:c r="B11" s="63" t="n">
        <x:v>46171.76173377315</x:v>
      </x:c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90" t="str">
        <x:v>Módulo</x:v>
      </x:c>
      <x:c r="B14" s="90" t="str">
        <x:v>Promedio</x:v>
      </x:c>
      <x:c r="C14" s="90" t="str">
        <x:v>Evaluados</x:v>
      </x:c>
      <x:c r="D14" s="90" t="str">
        <x:v>Estado</x:v>
      </x:c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61" t="str">
        <x:v>Módulo 0 - Acuerdo de trabajo y comunicación</x:v>
      </x:c>
      <x:c r="B15" s="64" t="str">
        <x:f>IFERROR(AVERAGEIF(Matriz!B5:B34,A15,Matriz!F5:F34),"")</x:f>
      </x:c>
      <x:c r="C15" s="61" t="n">
        <x:f>COUNTIFS(Matriz!B5:B34,A15,Matriz!F5:F34,"&gt;0")</x:f>
        <x:v>0</x:v>
      </x:c>
      <x:c r="D15" s="61" t="str">
        <x:f>IF(B15="","Pendiente",IF(B15&lt;3,"Reforzar",IF(B15&lt;4,"Aceptable",IF(B15&lt;5,"Bueno","Sólido"))))</x:f>
        <x:v>Pendiente</x:v>
      </x:c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61" t="str">
        <x:v>Módulo 1 - Fundamentos reales de Python</x:v>
      </x:c>
      <x:c r="B16" s="64" t="str">
        <x:f>IFERROR(AVERAGEIF(Matriz!B5:B34,A16,Matriz!F5:F34),"")</x:f>
      </x:c>
      <x:c r="C16" s="61" t="n">
        <x:f>COUNTIFS(Matriz!B5:B34,A16,Matriz!F5:F34,"&gt;0")</x:f>
        <x:v>0</x:v>
      </x:c>
      <x:c r="D16" s="61" t="str">
        <x:f>IF(B16="","Pendiente",IF(B16&lt;3,"Reforzar",IF(B16&lt;4,"Aceptable",IF(B16&lt;5,"Bueno","Sólido"))))</x:f>
        <x:v>Pendiente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61" t="str">
        <x:v>Módulo 2 - Pensamiento algorítmico</x:v>
      </x:c>
      <x:c r="B17" s="64" t="str">
        <x:f>IFERROR(AVERAGEIF(Matriz!B5:B34,A17,Matriz!F5:F34),"")</x:f>
      </x:c>
      <x:c r="C17" s="61" t="n">
        <x:f>COUNTIFS(Matriz!B5:B34,A17,Matriz!F5:F34,"&gt;0")</x:f>
        <x:v>0</x:v>
      </x:c>
      <x:c r="D17" s="61" t="str">
        <x:f>IF(B17="","Pendiente",IF(B17&lt;3,"Reforzar",IF(B17&lt;4,"Aceptable",IF(B17&lt;5,"Bueno","Sólido"))))</x:f>
        <x:v>Pendiente</x:v>
      </x:c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61" t="str">
        <x:v>Módulo 3 - POO y SOLID</x:v>
      </x:c>
      <x:c r="B18" s="64" t="str">
        <x:f>IFERROR(AVERAGEIF(Matriz!B5:B34,A18,Matriz!F5:F34),"")</x:f>
      </x:c>
      <x:c r="C18" s="61" t="n">
        <x:f>COUNTIFS(Matriz!B5:B34,A18,Matriz!F5:F34,"&gt;0")</x:f>
        <x:v>0</x:v>
      </x:c>
      <x:c r="D18" s="61" t="str">
        <x:f>IF(B18="","Pendiente",IF(B18&lt;3,"Reforzar",IF(B18&lt;4,"Aceptable",IF(B18&lt;5,"Bueno","Sólido"))))</x:f>
        <x:v>Pendiente</x:v>
      </x:c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61" t="str">
        <x:v>Módulo 4 - Clean Architecture</x:v>
      </x:c>
      <x:c r="B19" s="64" t="str">
        <x:f>IFERROR(AVERAGEIF(Matriz!B5:B34,A19,Matriz!F5:F34),"")</x:f>
      </x:c>
      <x:c r="C19" s="61" t="n">
        <x:f>COUNTIFS(Matriz!B5:B34,A19,Matriz!F5:F34,"&gt;0")</x:f>
        <x:v>0</x:v>
      </x:c>
      <x:c r="D19" s="61" t="str">
        <x:f>IF(B19="","Pendiente",IF(B19&lt;3,"Reforzar",IF(B19&lt;4,"Aceptable",IF(B19&lt;5,"Bueno","Sólido"))))</x:f>
        <x:v>Pendiente</x:v>
      </x:c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61" t="str">
        <x:v>Módulo 5 - APIs y servicios</x:v>
      </x:c>
      <x:c r="B20" s="64" t="str">
        <x:f>IFERROR(AVERAGEIF(Matriz!B5:B34,A20,Matriz!F5:F34),"")</x:f>
      </x:c>
      <x:c r="C20" s="61" t="n">
        <x:f>COUNTIFS(Matriz!B5:B34,A20,Matriz!F5:F34,"&gt;0")</x:f>
        <x:v>0</x:v>
      </x:c>
      <x:c r="D20" s="61" t="str">
        <x:f>IF(B20="","Pendiente",IF(B20&lt;3,"Reforzar",IF(B20&lt;4,"Aceptable",IF(B20&lt;5,"Bueno","Sólido"))))</x:f>
        <x:v>Pendiente</x:v>
      </x:c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61" t="str">
        <x:v>Módulo 6 - AWS SAM y serverless</x:v>
      </x:c>
      <x:c r="B21" s="64" t="str">
        <x:f>IFERROR(AVERAGEIF(Matriz!B5:B34,A21,Matriz!F5:F34),"")</x:f>
      </x:c>
      <x:c r="C21" s="61" t="n">
        <x:f>COUNTIFS(Matriz!B5:B34,A21,Matriz!F5:F34,"&gt;0")</x:f>
        <x:v>0</x:v>
      </x:c>
      <x:c r="D21" s="61" t="str">
        <x:f>IF(B21="","Pendiente",IF(B21&lt;3,"Reforzar",IF(B21&lt;4,"Aceptable",IF(B21&lt;5,"Bueno","Sólido"))))</x:f>
        <x:v>Pendiente</x:v>
      </x:c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61" t="str">
        <x:v>Módulo 7 - Uso responsable de IA</x:v>
      </x:c>
      <x:c r="B22" s="64" t="str">
        <x:f>IFERROR(AVERAGEIF(Matriz!B5:B34,A22,Matriz!F5:F34),"")</x:f>
      </x:c>
      <x:c r="C22" s="61" t="n">
        <x:f>COUNTIFS(Matriz!B5:B34,A22,Matriz!F5:F34,"&gt;0")</x:f>
        <x:v>0</x:v>
      </x:c>
      <x:c r="D22" s="61" t="str">
        <x:f>IF(B22="","Pendiente",IF(B22&lt;3,"Reforzar",IF(B22&lt;4,"Aceptable",IF(B22&lt;5,"Bueno","Sólido"))))</x:f>
        <x:v>Pendiente</x:v>
      </x:c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61" t="str">
        <x:v>Módulo 8 - Comunicación y presentación técnica</x:v>
      </x:c>
      <x:c r="B23" s="64" t="str">
        <x:f>IFERROR(AVERAGEIF(Matriz!B5:B34,A23,Matriz!F5:F34),"")</x:f>
      </x:c>
      <x:c r="C23" s="61" t="n">
        <x:f>COUNTIFS(Matriz!B5:B34,A23,Matriz!F5:F34,"&gt;0")</x:f>
        <x:v>0</x:v>
      </x:c>
      <x:c r="D23" s="61" t="str">
        <x:f>IF(B23="","Pendiente",IF(B23&lt;3,"Reforzar",IF(B23&lt;4,"Aceptable",IF(B23&lt;5,"Bueno","Sólido"))))</x:f>
        <x:v>Pendiente</x:v>
      </x:c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61" t="str">
        <x:v>Módulo 9 - Adaptación al equipo</x:v>
      </x:c>
      <x:c r="B24" s="64" t="str">
        <x:f>IFERROR(AVERAGEIF(Matriz!B5:B34,A24,Matriz!F5:F34),"")</x:f>
      </x:c>
      <x:c r="C24" s="61" t="n">
        <x:f>COUNTIFS(Matriz!B5:B34,A24,Matriz!F5:F34,"&gt;0")</x:f>
        <x:v>0</x:v>
      </x:c>
      <x:c r="D24" s="61" t="str">
        <x:f>IF(B24="","Pendiente",IF(B24&lt;3,"Reforzar",IF(B24&lt;4,"Aceptable",IF(B24&lt;5,"Bueno","Sólido"))))</x:f>
        <x:v>Pendiente</x:v>
      </x:c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H1"/>
    <x:mergeCell ref="D3:H3"/>
  </x:mergeCells>
  <x:conditionalFormatting sqref="D15:D24">
    <x:cfRule type="expression" dxfId="4" priority="1">
      <x:formula>D15="Reforzar"</x:formula>
    </x:cfRule>
    <x:cfRule type="expression" dxfId="5" priority="2">
      <x:formula>D15="Aceptable"</x:formula>
    </x:cfRule>
    <x:cfRule type="expression" dxfId="6" priority="3">
      <x:formula>D15="Bueno"</x:formula>
    </x:cfRule>
    <x:cfRule type="expression" dxfId="7" priority="4">
      <x:formula>D15="Sólido"</x:formula>
    </x:cfRule>
  </x:conditionalFormatting>
  <x:pageMargins left="0.7" right="0.7" top="0.75" bottom="0.75" header="0.3" footer="0.3"/>
  <x:drawing xmlns:r="http://schemas.openxmlformats.org/officeDocument/2006/relationships" r:id="R5374507662524579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2" hidden="0" customWidth="1"/>
    <x:col min="4" max="4" width="46" hidden="0" customWidth="1"/>
    <x:col min="5" max="5" width="10" hidden="0" customWidth="1"/>
    <x:col min="6" max="6" width="14" hidden="0" customWidth="1"/>
    <x:col min="7" max="7" width="18" hidden="0" customWidth="1"/>
    <x:col min="8" max="8" width="16" hidden="0" customWidth="1"/>
    <x:col min="9" max="9" width="38" hidden="0" customWidth="1"/>
    <x:col min="10" max="10" width="34" hidden="0" customWidth="1"/>
    <x:col min="11" max="11" width="16" hidden="0" customWidth="1"/>
  </x:cols>
  <x:sheetData>
    <x:row r="1">
      <x:c r="A1" s="88" t="str">
        <x:v>Matriz de evaluación y seguimiento del pasante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74" t="str">
        <x:v>Instrucción: registre un puntaje de 1 a 5 únicamente cuando exista evidencia revisada. Use observaciones y próxima acción para orientar el crecimiento, no para etiquetar a la persona.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90" t="str">
        <x:v>ID</x:v>
      </x:c>
      <x:c r="B4" s="90" t="str">
        <x:v>Módulo</x:v>
      </x:c>
      <x:c r="C4" s="90" t="str">
        <x:v>Criterio de aceptación</x:v>
      </x:c>
      <x:c r="D4" s="90" t="str">
        <x:v>Evidencia esperada</x:v>
      </x:c>
      <x:c r="E4" s="90" t="str">
        <x:v>Peso</x:v>
      </x:c>
      <x:c r="F4" s="90" t="str">
        <x:v>Puntaje 1-5</x:v>
      </x:c>
      <x:c r="G4" s="90" t="str">
        <x:v>Resultado ponderado</x:v>
      </x:c>
      <x:c r="H4" s="90" t="str">
        <x:v>Estado</x:v>
      </x:c>
      <x:c r="I4" s="90" t="str">
        <x:v>Observaciones del líder</x:v>
      </x:c>
      <x:c r="J4" s="90" t="str">
        <x:v>Próxima acción</x:v>
      </x:c>
      <x:c r="K4" s="90" t="str">
        <x:v>Fecha revisión</x:v>
      </x:c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 ht="54" customHeight="1">
      <x:c r="A5" s="75" t="str">
        <x:v>M0.1</x:v>
      </x:c>
      <x:c r="B5" s="75" t="str">
        <x:v>Módulo 0 - Acuerdo de trabajo y comunicación</x:v>
      </x:c>
      <x:c r="C5" s="75" t="str">
        <x:v>Comprende el propósito del plan y los acuerdos de trabajo.</x:v>
      </x:c>
      <x:c r="D5" s="75" t="str">
        <x:v>Explica con sus palabras el objetivo del proceso y registra compromisos iniciales.</x:v>
      </x:c>
      <x:c r="E5" s="76" t="n">
        <x:v>8</x:v>
      </x:c>
      <x:c r="F5" s="77" t="str"/>
      <x:c r="G5" s="76" t="str">
        <x:f>IF(F5="","",F5*E5)</x:f>
      </x:c>
      <x:c r="H5" s="78" t="str">
        <x:f>IF(F5="","Pendiente",IF(F5&lt;3,"Reforzar",IF(F5&lt;4,"Aceptable",IF(F5&lt;5,"Bueno","Sólido"))))</x:f>
        <x:v>Pendiente</x:v>
      </x:c>
      <x:c r="I5" s="75" t="str"/>
      <x:c r="J5" s="75" t="str"/>
      <x:c r="K5" s="79" t="str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54" customHeight="1">
      <x:c r="A6" s="75" t="str">
        <x:v>M0.2</x:v>
      </x:c>
      <x:c r="B6" s="75" t="str">
        <x:v>Módulo 0 - Acuerdo de trabajo y comunicación</x:v>
      </x:c>
      <x:c r="C6" s="75" t="str">
        <x:v>Comunica límites técnicos sin ocultar brechas de conocimiento.</x:v>
      </x:c>
      <x:c r="D6" s="75" t="str">
        <x:v>Presenta una lista honesta de temas dominados, temas en proceso y dudas prioritarias.</x:v>
      </x:c>
      <x:c r="E6" s="76" t="n">
        <x:v>12</x:v>
      </x:c>
      <x:c r="F6" s="77" t="str"/>
      <x:c r="G6" s="76" t="str">
        <x:f>IF(F6="","",F6*E6)</x:f>
      </x:c>
      <x:c r="H6" s="78" t="str">
        <x:f>IF(F6="","Pendiente",IF(F6&lt;3,"Reforzar",IF(F6&lt;4,"Aceptable",IF(F6&lt;5,"Bueno","Sólido"))))</x:f>
        <x:v>Pendiente</x:v>
      </x:c>
      <x:c r="I6" s="75" t="str"/>
      <x:c r="J6" s="75" t="str"/>
      <x:c r="K6" s="79" t="str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 ht="54" customHeight="1">
      <x:c r="A7" s="75" t="str">
        <x:v>M0.3</x:v>
      </x:c>
      <x:c r="B7" s="75" t="str">
        <x:v>Módulo 0 - Acuerdo de trabajo y comunicación</x:v>
      </x:c>
      <x:c r="C7" s="75" t="str">
        <x:v>Mantiene una bitácora clara de aprendizaje.</x:v>
      </x:c>
      <x:c r="D7" s="75" t="str">
        <x:v>Entrega bitácora con avances, bloqueos, fuentes consultadas y próximos pasos.</x:v>
      </x:c>
      <x:c r="E7" s="76" t="n">
        <x:v>10</x:v>
      </x:c>
      <x:c r="F7" s="77" t="str"/>
      <x:c r="G7" s="76" t="str">
        <x:f>IF(F7="","",F7*E7)</x:f>
      </x:c>
      <x:c r="H7" s="78" t="str">
        <x:f>IF(F7="","Pendiente",IF(F7&lt;3,"Reforzar",IF(F7&lt;4,"Aceptable",IF(F7&lt;5,"Bueno","Sólido"))))</x:f>
        <x:v>Pendiente</x:v>
      </x:c>
      <x:c r="I7" s="75" t="str"/>
      <x:c r="J7" s="75" t="str"/>
      <x:c r="K7" s="79" t="str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 ht="54" customHeight="1">
      <x:c r="A8" s="75" t="str">
        <x:v>M1.1</x:v>
      </x:c>
      <x:c r="B8" s="75" t="str">
        <x:v>Módulo 1 - Fundamentos reales de Python</x:v>
      </x:c>
      <x:c r="C8" s="75" t="str">
        <x:v>Utiliza variables, condicionales, ciclos y estructuras de datos básicas.</x:v>
      </x:c>
      <x:c r="D8" s="75" t="str">
        <x:v>Resuelve ejercicios simples sin depender exclusivamente de IA.</x:v>
      </x:c>
      <x:c r="E8" s="76" t="n">
        <x:v>10</x:v>
      </x:c>
      <x:c r="F8" s="77" t="str"/>
      <x:c r="G8" s="76" t="str">
        <x:f>IF(F8="","",F8*E8)</x:f>
      </x:c>
      <x:c r="H8" s="78" t="str">
        <x:f>IF(F8="","Pendiente",IF(F8&lt;3,"Reforzar",IF(F8&lt;4,"Aceptable",IF(F8&lt;5,"Bueno","Sólido"))))</x:f>
        <x:v>Pendiente</x:v>
      </x:c>
      <x:c r="I8" s="75" t="str"/>
      <x:c r="J8" s="75" t="str"/>
      <x:c r="K8" s="79" t="str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 ht="54" customHeight="1">
      <x:c r="A9" s="75" t="str">
        <x:v>M1.2</x:v>
      </x:c>
      <x:c r="B9" s="75" t="str">
        <x:v>Módulo 1 - Fundamentos reales de Python</x:v>
      </x:c>
      <x:c r="C9" s="75" t="str">
        <x:v>Define funciones con parámetros, retorno y responsabilidad clara.</x:v>
      </x:c>
      <x:c r="D9" s="75" t="str">
        <x:v>Implementa funciones pequeñas y explica entradas, proceso y salida.</x:v>
      </x:c>
      <x:c r="E9" s="76" t="n">
        <x:v>10</x:v>
      </x:c>
      <x:c r="F9" s="77" t="str"/>
      <x:c r="G9" s="76" t="str">
        <x:f>IF(F9="","",F9*E9)</x:f>
      </x:c>
      <x:c r="H9" s="78" t="str">
        <x:f>IF(F9="","Pendiente",IF(F9&lt;3,"Reforzar",IF(F9&lt;4,"Aceptable",IF(F9&lt;5,"Bueno","Sólido"))))</x:f>
        <x:v>Pendiente</x:v>
      </x:c>
      <x:c r="I9" s="75" t="str"/>
      <x:c r="J9" s="75" t="str"/>
      <x:c r="K9" s="79" t="str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 ht="54" customHeight="1">
      <x:c r="A10" s="75" t="str">
        <x:v>M1.3</x:v>
      </x:c>
      <x:c r="B10" s="75" t="str">
        <x:v>Módulo 1 - Fundamentos reales de Python</x:v>
      </x:c>
      <x:c r="C10" s="75" t="str">
        <x:v>Aplica clases básicas y manejo simple de errores.</x:v>
      </x:c>
      <x:c r="D10" s="75" t="str">
        <x:v>Crea una clase simple, instancia objetos y maneja casos inválidos.</x:v>
      </x:c>
      <x:c r="E10" s="76" t="n">
        <x:v>10</x:v>
      </x:c>
      <x:c r="F10" s="77" t="str"/>
      <x:c r="G10" s="76" t="str">
        <x:f>IF(F10="","",F10*E10)</x:f>
      </x:c>
      <x:c r="H10" s="78" t="str">
        <x:f>IF(F10="","Pendiente",IF(F10&lt;3,"Reforzar",IF(F10&lt;4,"Aceptable",IF(F10&lt;5,"Bueno","Sólido"))))</x:f>
        <x:v>Pendiente</x:v>
      </x:c>
      <x:c r="I10" s="75" t="str"/>
      <x:c r="J10" s="75" t="str"/>
      <x:c r="K10" s="79" t="str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 ht="54" customHeight="1">
      <x:c r="A11" s="75" t="str">
        <x:v>M2.1</x:v>
      </x:c>
      <x:c r="B11" s="75" t="str">
        <x:v>Módulo 2 - Pensamiento algorítmico</x:v>
      </x:c>
      <x:c r="C11" s="75" t="str">
        <x:v>Descompone un problema antes de codificar.</x:v>
      </x:c>
      <x:c r="D11" s="75" t="str">
        <x:v>Entrega pasos, pseudocódigo o flujo previo a la solución.</x:v>
      </x:c>
      <x:c r="E11" s="76" t="n">
        <x:v>10</x:v>
      </x:c>
      <x:c r="F11" s="77" t="str"/>
      <x:c r="G11" s="76" t="str">
        <x:f>IF(F11="","",F11*E11)</x:f>
      </x:c>
      <x:c r="H11" s="78" t="str">
        <x:f>IF(F11="","Pendiente",IF(F11&lt;3,"Reforzar",IF(F11&lt;4,"Aceptable",IF(F11&lt;5,"Bueno","Sólido"))))</x:f>
        <x:v>Pendiente</x:v>
      </x:c>
      <x:c r="I11" s="75" t="str"/>
      <x:c r="J11" s="75" t="str"/>
      <x:c r="K11" s="79" t="str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 ht="54" customHeight="1">
      <x:c r="A12" s="75" t="str">
        <x:v>M2.2</x:v>
      </x:c>
      <x:c r="B12" s="75" t="str">
        <x:v>Módulo 2 - Pensamiento algorítmico</x:v>
      </x:c>
      <x:c r="C12" s="75" t="str">
        <x:v>Prueba manualmente su solución con casos normales y borde.</x:v>
      </x:c>
      <x:c r="D12" s="75" t="str">
        <x:v>Presenta ejemplos de entrada/salida y explica resultados.</x:v>
      </x:c>
      <x:c r="E12" s="76" t="n">
        <x:v>10</x:v>
      </x:c>
      <x:c r="F12" s="77" t="str"/>
      <x:c r="G12" s="76" t="str">
        <x:f>IF(F12="","",F12*E12)</x:f>
      </x:c>
      <x:c r="H12" s="78" t="str">
        <x:f>IF(F12="","Pendiente",IF(F12&lt;3,"Reforzar",IF(F12&lt;4,"Aceptable",IF(F12&lt;5,"Bueno","Sólido"))))</x:f>
        <x:v>Pendiente</x:v>
      </x:c>
      <x:c r="I12" s="75" t="str"/>
      <x:c r="J12" s="75" t="str"/>
      <x:c r="K12" s="79" t="str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 ht="54" customHeight="1">
      <x:c r="A13" s="75" t="str">
        <x:v>M2.3</x:v>
      </x:c>
      <x:c r="B13" s="75" t="str">
        <x:v>Módulo 2 - Pensamiento algorítmico</x:v>
      </x:c>
      <x:c r="C13" s="75" t="str">
        <x:v>Corrige errores con razonamiento y no solo por ensayo.</x:v>
      </x:c>
      <x:c r="D13" s="75" t="str">
        <x:v>Documenta qué falló, por qué falló y cómo lo corrigió.</x:v>
      </x:c>
      <x:c r="E13" s="76" t="n">
        <x:v>10</x:v>
      </x:c>
      <x:c r="F13" s="77" t="str"/>
      <x:c r="G13" s="76" t="str">
        <x:f>IF(F13="","",F13*E13)</x:f>
      </x:c>
      <x:c r="H13" s="78" t="str">
        <x:f>IF(F13="","Pendiente",IF(F13&lt;3,"Reforzar",IF(F13&lt;4,"Aceptable",IF(F13&lt;5,"Bueno","Sólido"))))</x:f>
        <x:v>Pendiente</x:v>
      </x:c>
      <x:c r="I13" s="75" t="str"/>
      <x:c r="J13" s="75" t="str"/>
      <x:c r="K13" s="79" t="str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 ht="54" customHeight="1">
      <x:c r="A14" s="75" t="str">
        <x:v>M3.1</x:v>
      </x:c>
      <x:c r="B14" s="75" t="str">
        <x:v>Módulo 3 - POO y SOLID</x:v>
      </x:c>
      <x:c r="C14" s="75" t="str">
        <x:v>Comprende y aplica responsabilidad única de forma básica.</x:v>
      </x:c>
      <x:c r="D14" s="75" t="str">
        <x:v>Refactoriza código separando responsabilidades evidentes.</x:v>
      </x:c>
      <x:c r="E14" s="76" t="n">
        <x:v>10</x:v>
      </x:c>
      <x:c r="F14" s="77" t="str"/>
      <x:c r="G14" s="76" t="str">
        <x:f>IF(F14="","",F14*E14)</x:f>
      </x:c>
      <x:c r="H14" s="78" t="str">
        <x:f>IF(F14="","Pendiente",IF(F14&lt;3,"Reforzar",IF(F14&lt;4,"Aceptable",IF(F14&lt;5,"Bueno","Sólido"))))</x:f>
        <x:v>Pendiente</x:v>
      </x:c>
      <x:c r="I14" s="75" t="str"/>
      <x:c r="J14" s="75" t="str"/>
      <x:c r="K14" s="79" t="str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 ht="54" customHeight="1">
      <x:c r="A15" s="75" t="str">
        <x:v>M3.2</x:v>
      </x:c>
      <x:c r="B15" s="75" t="str">
        <x:v>Módulo 3 - POO y SOLID</x:v>
      </x:c>
      <x:c r="C15" s="75" t="str">
        <x:v>Explica principios SOLID con ejemplos simples.</x:v>
      </x:c>
      <x:c r="D15" s="75" t="str">
        <x:v>Relaciona SRP, OCP y DIP con decisiones concretas del código.</x:v>
      </x:c>
      <x:c r="E15" s="76" t="n">
        <x:v>10</x:v>
      </x:c>
      <x:c r="F15" s="77" t="str"/>
      <x:c r="G15" s="76" t="str">
        <x:f>IF(F15="","",F15*E15)</x:f>
      </x:c>
      <x:c r="H15" s="78" t="str">
        <x:f>IF(F15="","Pendiente",IF(F15&lt;3,"Reforzar",IF(F15&lt;4,"Aceptable",IF(F15&lt;5,"Bueno","Sólido"))))</x:f>
        <x:v>Pendiente</x:v>
      </x:c>
      <x:c r="I15" s="75" t="str"/>
      <x:c r="J15" s="75" t="str"/>
      <x:c r="K15" s="79" t="str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 ht="54" customHeight="1">
      <x:c r="A16" s="75" t="str">
        <x:v>M3.3</x:v>
      </x:c>
      <x:c r="B16" s="75" t="str">
        <x:v>Módulo 3 - POO y SOLID</x:v>
      </x:c>
      <x:c r="C16" s="75" t="str">
        <x:v>Evita sobreingeniería al aplicar principios.</x:v>
      </x:c>
      <x:c r="D16" s="75" t="str">
        <x:v>Justifica cuándo aplicar una separación y cuándo mantener simplicidad.</x:v>
      </x:c>
      <x:c r="E16" s="76" t="n">
        <x:v>8</x:v>
      </x:c>
      <x:c r="F16" s="77" t="str"/>
      <x:c r="G16" s="76" t="str">
        <x:f>IF(F16="","",F16*E16)</x:f>
      </x:c>
      <x:c r="H16" s="78" t="str">
        <x:f>IF(F16="","Pendiente",IF(F16&lt;3,"Reforzar",IF(F16&lt;4,"Aceptable",IF(F16&lt;5,"Bueno","Sólido"))))</x:f>
        <x:v>Pendiente</x:v>
      </x:c>
      <x:c r="I16" s="75" t="str"/>
      <x:c r="J16" s="75" t="str"/>
      <x:c r="K16" s="79" t="str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 ht="54" customHeight="1">
      <x:c r="A17" s="75" t="str">
        <x:v>M4.1</x:v>
      </x:c>
      <x:c r="B17" s="75" t="str">
        <x:v>Módulo 4 - Clean Architecture</x:v>
      </x:c>
      <x:c r="C17" s="75" t="str">
        <x:v>Distingue dominio, casos de uso, infraestructura y entrada/salida.</x:v>
      </x:c>
      <x:c r="D17" s="75" t="str">
        <x:v>Dibuja o explica una estructura simple por capas.</x:v>
      </x:c>
      <x:c r="E17" s="76" t="n">
        <x:v>10</x:v>
      </x:c>
      <x:c r="F17" s="77" t="str"/>
      <x:c r="G17" s="76" t="str">
        <x:f>IF(F17="","",F17*E17)</x:f>
      </x:c>
      <x:c r="H17" s="78" t="str">
        <x:f>IF(F17="","Pendiente",IF(F17&lt;3,"Reforzar",IF(F17&lt;4,"Aceptable",IF(F17&lt;5,"Bueno","Sólido"))))</x:f>
        <x:v>Pendiente</x:v>
      </x:c>
      <x:c r="I17" s="75" t="str"/>
      <x:c r="J17" s="75" t="str"/>
      <x:c r="K17" s="79" t="str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 ht="54" customHeight="1">
      <x:c r="A18" s="75" t="str">
        <x:v>M4.2</x:v>
      </x:c>
      <x:c r="B18" s="75" t="str">
        <x:v>Módulo 4 - Clean Architecture</x:v>
      </x:c>
      <x:c r="C18" s="75" t="str">
        <x:v>Ubica reglas de negocio fuera de frameworks.</x:v>
      </x:c>
      <x:c r="D18" s="75" t="str">
        <x:v>Implementa o describe un caso de uso independiente de FastAPI/AWS.</x:v>
      </x:c>
      <x:c r="E18" s="76" t="n">
        <x:v>12</x:v>
      </x:c>
      <x:c r="F18" s="77" t="str"/>
      <x:c r="G18" s="76" t="str">
        <x:f>IF(F18="","",F18*E18)</x:f>
      </x:c>
      <x:c r="H18" s="78" t="str">
        <x:f>IF(F18="","Pendiente",IF(F18&lt;3,"Reforzar",IF(F18&lt;4,"Aceptable",IF(F18&lt;5,"Bueno","Sólido"))))</x:f>
        <x:v>Pendiente</x:v>
      </x:c>
      <x:c r="I18" s="75" t="str"/>
      <x:c r="J18" s="75" t="str"/>
      <x:c r="K18" s="79" t="str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 ht="54" customHeight="1">
      <x:c r="A19" s="75" t="str">
        <x:v>M4.3</x:v>
      </x:c>
      <x:c r="B19" s="75" t="str">
        <x:v>Módulo 4 - Clean Architecture</x:v>
      </x:c>
      <x:c r="C19" s="75" t="str">
        <x:v>Explica dependencias y responsabilidades entre capas.</x:v>
      </x:c>
      <x:c r="D19" s="75" t="str">
        <x:v>Presenta un ejemplo con flujo de datos y responsabilidades claras.</x:v>
      </x:c>
      <x:c r="E19" s="76" t="n">
        <x:v>8</x:v>
      </x:c>
      <x:c r="F19" s="77" t="str"/>
      <x:c r="G19" s="76" t="str">
        <x:f>IF(F19="","",F19*E19)</x:f>
      </x:c>
      <x:c r="H19" s="78" t="str">
        <x:f>IF(F19="","Pendiente",IF(F19&lt;3,"Reforzar",IF(F19&lt;4,"Aceptable",IF(F19&lt;5,"Bueno","Sólido"))))</x:f>
        <x:v>Pendiente</x:v>
      </x:c>
      <x:c r="I19" s="75" t="str"/>
      <x:c r="J19" s="75" t="str"/>
      <x:c r="K19" s="79" t="str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 ht="54" customHeight="1">
      <x:c r="A20" s="75" t="str">
        <x:v>M5.1</x:v>
      </x:c>
      <x:c r="B20" s="75" t="str">
        <x:v>Módulo 5 - APIs y servicios</x:v>
      </x:c>
      <x:c r="C20" s="75" t="str">
        <x:v>Construye o entiende endpoints REST básicos.</x:v>
      </x:c>
      <x:c r="D20" s="75" t="str">
        <x:v>Implementa o explica GET/POST con request, response y validación básica.</x:v>
      </x:c>
      <x:c r="E20" s="76" t="n">
        <x:v>10</x:v>
      </x:c>
      <x:c r="F20" s="77" t="str"/>
      <x:c r="G20" s="76" t="str">
        <x:f>IF(F20="","",F20*E20)</x:f>
      </x:c>
      <x:c r="H20" s="78" t="str">
        <x:f>IF(F20="","Pendiente",IF(F20&lt;3,"Reforzar",IF(F20&lt;4,"Aceptable",IF(F20&lt;5,"Bueno","Sólido"))))</x:f>
        <x:v>Pendiente</x:v>
      </x:c>
      <x:c r="I20" s="75" t="str"/>
      <x:c r="J20" s="75" t="str"/>
      <x:c r="K20" s="79" t="str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 ht="54" customHeight="1">
      <x:c r="A21" s="75" t="str">
        <x:v>M5.2</x:v>
      </x:c>
      <x:c r="B21" s="75" t="str">
        <x:v>Módulo 5 - APIs y servicios</x:v>
      </x:c>
      <x:c r="C21" s="75" t="str">
        <x:v>Maneja errores y respuestas de forma consistente.</x:v>
      </x:c>
      <x:c r="D21" s="75" t="str">
        <x:v>Define respuestas para casos exitosos, inválidos y no encontrados.</x:v>
      </x:c>
      <x:c r="E21" s="76" t="n">
        <x:v>10</x:v>
      </x:c>
      <x:c r="F21" s="77" t="str"/>
      <x:c r="G21" s="76" t="str">
        <x:f>IF(F21="","",F21*E21)</x:f>
      </x:c>
      <x:c r="H21" s="78" t="str">
        <x:f>IF(F21="","Pendiente",IF(F21&lt;3,"Reforzar",IF(F21&lt;4,"Aceptable",IF(F21&lt;5,"Bueno","Sólido"))))</x:f>
        <x:v>Pendiente</x:v>
      </x:c>
      <x:c r="I21" s="75" t="str"/>
      <x:c r="J21" s="75" t="str"/>
      <x:c r="K21" s="79" t="str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 ht="54" customHeight="1">
      <x:c r="A22" s="75" t="str">
        <x:v>M5.3</x:v>
      </x:c>
      <x:c r="B22" s="75" t="str">
        <x:v>Módulo 5 - APIs y servicios</x:v>
      </x:c>
      <x:c r="C22" s="75" t="str">
        <x:v>Documenta el comportamiento esperado del servicio.</x:v>
      </x:c>
      <x:c r="D22" s="75" t="str">
        <x:v>Entrega README breve con endpoints, ejemplos y supuestos.</x:v>
      </x:c>
      <x:c r="E22" s="76" t="n">
        <x:v>8</x:v>
      </x:c>
      <x:c r="F22" s="77" t="str"/>
      <x:c r="G22" s="76" t="str">
        <x:f>IF(F22="","",F22*E22)</x:f>
      </x:c>
      <x:c r="H22" s="78" t="str">
        <x:f>IF(F22="","Pendiente",IF(F22&lt;3,"Reforzar",IF(F22&lt;4,"Aceptable",IF(F22&lt;5,"Bueno","Sólido"))))</x:f>
        <x:v>Pendiente</x:v>
      </x:c>
      <x:c r="I22" s="75" t="str"/>
      <x:c r="J22" s="75" t="str"/>
      <x:c r="K22" s="79" t="str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 ht="54" customHeight="1">
      <x:c r="A23" s="75" t="str">
        <x:v>M6.1</x:v>
      </x:c>
      <x:c r="B23" s="75" t="str">
        <x:v>Módulo 6 - AWS SAM y serverless</x:v>
      </x:c>
      <x:c r="C23" s="75" t="str">
        <x:v>Comprende los conceptos base de Lambda, API Gateway y template SAM.</x:v>
      </x:c>
      <x:c r="D23" s="75" t="str">
        <x:v>Explica el rol de cada componente sin necesidad de despliegue real.</x:v>
      </x:c>
      <x:c r="E23" s="76" t="n">
        <x:v>10</x:v>
      </x:c>
      <x:c r="F23" s="77" t="str"/>
      <x:c r="G23" s="76" t="str">
        <x:f>IF(F23="","",F23*E23)</x:f>
      </x:c>
      <x:c r="H23" s="78" t="str">
        <x:f>IF(F23="","Pendiente",IF(F23&lt;3,"Reforzar",IF(F23&lt;4,"Aceptable",IF(F23&lt;5,"Bueno","Sólido"))))</x:f>
        <x:v>Pendiente</x:v>
      </x:c>
      <x:c r="I23" s="75" t="str"/>
      <x:c r="J23" s="75" t="str"/>
      <x:c r="K23" s="79" t="str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 ht="54" customHeight="1">
      <x:c r="A24" s="75" t="str">
        <x:v>M6.2</x:v>
      </x:c>
      <x:c r="B24" s="75" t="str">
        <x:v>Módulo 6 - AWS SAM y serverless</x:v>
      </x:c>
      <x:c r="C24" s="75" t="str">
        <x:v>Lee un template SAM simple e identifica recursos principales.</x:v>
      </x:c>
      <x:c r="D24" s="75" t="str">
        <x:v>Marca Function, Events, Policies, Runtime y Outputs en un ejemplo.</x:v>
      </x:c>
      <x:c r="E24" s="76" t="n">
        <x:v>10</x:v>
      </x:c>
      <x:c r="F24" s="77" t="str"/>
      <x:c r="G24" s="76" t="str">
        <x:f>IF(F24="","",F24*E24)</x:f>
      </x:c>
      <x:c r="H24" s="78" t="str">
        <x:f>IF(F24="","Pendiente",IF(F24&lt;3,"Reforzar",IF(F24&lt;4,"Aceptable",IF(F24&lt;5,"Bueno","Sólido"))))</x:f>
        <x:v>Pendiente</x:v>
      </x:c>
      <x:c r="I24" s="75" t="str"/>
      <x:c r="J24" s="75" t="str"/>
      <x:c r="K24" s="79" t="str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 ht="54" customHeight="1">
      <x:c r="A25" s="75" t="str">
        <x:v>M6.3</x:v>
      </x:c>
      <x:c r="B25" s="75" t="str">
        <x:v>Módulo 6 - AWS SAM y serverless</x:v>
      </x:c>
      <x:c r="C25" s="75" t="str">
        <x:v>Reconoce límites y riesgos básicos en servicios cloud.</x:v>
      </x:c>
      <x:c r="D25" s="75" t="str">
        <x:v>Menciona permisos, costos, logs, variables de entorno y seguridad mínima.</x:v>
      </x:c>
      <x:c r="E25" s="76" t="n">
        <x:v>8</x:v>
      </x:c>
      <x:c r="F25" s="77" t="str"/>
      <x:c r="G25" s="76" t="str">
        <x:f>IF(F25="","",F25*E25)</x:f>
      </x:c>
      <x:c r="H25" s="78" t="str">
        <x:f>IF(F25="","Pendiente",IF(F25&lt;3,"Reforzar",IF(F25&lt;4,"Aceptable",IF(F25&lt;5,"Bueno","Sólido"))))</x:f>
        <x:v>Pendiente</x:v>
      </x:c>
      <x:c r="I25" s="75" t="str"/>
      <x:c r="J25" s="75" t="str"/>
      <x:c r="K25" s="79" t="str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 ht="54" customHeight="1">
      <x:c r="A26" s="75" t="str">
        <x:v>M7.1</x:v>
      </x:c>
      <x:c r="B26" s="75" t="str">
        <x:v>Módulo 7 - Uso responsable de IA</x:v>
      </x:c>
      <x:c r="C26" s="75" t="str">
        <x:v>Utiliza IA como apoyo y no como sustituto del entendimiento.</x:v>
      </x:c>
      <x:c r="D26" s="75" t="str">
        <x:v>Entrega prompts usados y valida el resultado con explicación propia.</x:v>
      </x:c>
      <x:c r="E26" s="76" t="n">
        <x:v>12</x:v>
      </x:c>
      <x:c r="F26" s="77" t="str"/>
      <x:c r="G26" s="76" t="str">
        <x:f>IF(F26="","",F26*E26)</x:f>
      </x:c>
      <x:c r="H26" s="78" t="str">
        <x:f>IF(F26="","Pendiente",IF(F26&lt;3,"Reforzar",IF(F26&lt;4,"Aceptable",IF(F26&lt;5,"Bueno","Sólido"))))</x:f>
        <x:v>Pendiente</x:v>
      </x:c>
      <x:c r="I26" s="75" t="str"/>
      <x:c r="J26" s="75" t="str"/>
      <x:c r="K26" s="79" t="str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 ht="54" customHeight="1">
      <x:c r="A27" s="75" t="str">
        <x:v>M7.2</x:v>
      </x:c>
      <x:c r="B27" s="75" t="str">
        <x:v>Módulo 7 - Uso responsable de IA</x:v>
      </x:c>
      <x:c r="C27" s="75" t="str">
        <x:v>Puede explicar el código generado o apoyado por IA.</x:v>
      </x:c>
      <x:c r="D27" s="75" t="str">
        <x:v>Responde preguntas sobre líneas clave, decisiones y posibles fallos.</x:v>
      </x:c>
      <x:c r="E27" s="76" t="n">
        <x:v>12</x:v>
      </x:c>
      <x:c r="F27" s="77" t="str"/>
      <x:c r="G27" s="76" t="str">
        <x:f>IF(F27="","",F27*E27)</x:f>
      </x:c>
      <x:c r="H27" s="78" t="str">
        <x:f>IF(F27="","Pendiente",IF(F27&lt;3,"Reforzar",IF(F27&lt;4,"Aceptable",IF(F27&lt;5,"Bueno","Sólido"))))</x:f>
        <x:v>Pendiente</x:v>
      </x:c>
      <x:c r="I27" s="75" t="str"/>
      <x:c r="J27" s="75" t="str"/>
      <x:c r="K27" s="79" t="str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 ht="54" customHeight="1">
      <x:c r="A28" s="75" t="str">
        <x:v>M7.3</x:v>
      </x:c>
      <x:c r="B28" s="75" t="str">
        <x:v>Módulo 7 - Uso responsable de IA</x:v>
      </x:c>
      <x:c r="C28" s="75" t="str">
        <x:v>Realiza ajustes pequeños sin depender totalmente de IA.</x:v>
      </x:c>
      <x:c r="D28" s="75" t="str">
        <x:v>Modifica una regla simple durante la revisión y explica el cambio.</x:v>
      </x:c>
      <x:c r="E28" s="76" t="n">
        <x:v>12</x:v>
      </x:c>
      <x:c r="F28" s="77" t="str"/>
      <x:c r="G28" s="76" t="str">
        <x:f>IF(F28="","",F28*E28)</x:f>
      </x:c>
      <x:c r="H28" s="78" t="str">
        <x:f>IF(F28="","Pendiente",IF(F28&lt;3,"Reforzar",IF(F28&lt;4,"Aceptable",IF(F28&lt;5,"Bueno","Sólido"))))</x:f>
        <x:v>Pendiente</x:v>
      </x:c>
      <x:c r="I28" s="75" t="str"/>
      <x:c r="J28" s="75" t="str"/>
      <x:c r="K28" s="79" t="str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 ht="54" customHeight="1">
      <x:c r="A29" s="75" t="str">
        <x:v>M8.1</x:v>
      </x:c>
      <x:c r="B29" s="75" t="str">
        <x:v>Módulo 8 - Comunicación y presentación técnica</x:v>
      </x:c>
      <x:c r="C29" s="75" t="str">
        <x:v>Comunica avances, dudas y bloqueos con claridad.</x:v>
      </x:c>
      <x:c r="D29" s="75" t="str">
        <x:v>Presenta resumen de avance con contexto, problema, intento y solicitud concreta.</x:v>
      </x:c>
      <x:c r="E29" s="76" t="n">
        <x:v>12</x:v>
      </x:c>
      <x:c r="F29" s="77" t="str"/>
      <x:c r="G29" s="76" t="str">
        <x:f>IF(F29="","",F29*E29)</x:f>
      </x:c>
      <x:c r="H29" s="78" t="str">
        <x:f>IF(F29="","Pendiente",IF(F29&lt;3,"Reforzar",IF(F29&lt;4,"Aceptable",IF(F29&lt;5,"Bueno","Sólido"))))</x:f>
        <x:v>Pendiente</x:v>
      </x:c>
      <x:c r="I29" s="75" t="str"/>
      <x:c r="J29" s="75" t="str"/>
      <x:c r="K29" s="79" t="str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 ht="54" customHeight="1">
      <x:c r="A30" s="75" t="str">
        <x:v>M8.2</x:v>
      </x:c>
      <x:c r="B30" s="75" t="str">
        <x:v>Módulo 8 - Comunicación y presentación técnica</x:v>
      </x:c>
      <x:c r="C30" s="75" t="str">
        <x:v>Explica decisiones técnicas con lenguaje simple.</x:v>
      </x:c>
      <x:c r="D30" s="75" t="str">
        <x:v>Hace una demo breve y responde preguntas sin sobredimensionar su dominio.</x:v>
      </x:c>
      <x:c r="E30" s="76" t="n">
        <x:v>10</x:v>
      </x:c>
      <x:c r="F30" s="77" t="str"/>
      <x:c r="G30" s="76" t="str">
        <x:f>IF(F30="","",F30*E30)</x:f>
      </x:c>
      <x:c r="H30" s="78" t="str">
        <x:f>IF(F30="","Pendiente",IF(F30&lt;3,"Reforzar",IF(F30&lt;4,"Aceptable",IF(F30&lt;5,"Bueno","Sólido"))))</x:f>
        <x:v>Pendiente</x:v>
      </x:c>
      <x:c r="I30" s="75" t="str"/>
      <x:c r="J30" s="75" t="str"/>
      <x:c r="K30" s="79" t="str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 ht="54" customHeight="1">
      <x:c r="A31" s="75" t="str">
        <x:v>M8.3</x:v>
      </x:c>
      <x:c r="B31" s="75" t="str">
        <x:v>Módulo 8 - Comunicación y presentación técnica</x:v>
      </x:c>
      <x:c r="C31" s="75" t="str">
        <x:v>Recibe retroalimentación y la convierte en acciones.</x:v>
      </x:c>
      <x:c r="D31" s="75" t="str">
        <x:v>Registra observaciones y entrega ajustes visibles en una siguiente revisión.</x:v>
      </x:c>
      <x:c r="E31" s="76" t="n">
        <x:v>10</x:v>
      </x:c>
      <x:c r="F31" s="77" t="str"/>
      <x:c r="G31" s="76" t="str">
        <x:f>IF(F31="","",F31*E31)</x:f>
      </x:c>
      <x:c r="H31" s="78" t="str">
        <x:f>IF(F31="","Pendiente",IF(F31&lt;3,"Reforzar",IF(F31&lt;4,"Aceptable",IF(F31&lt;5,"Bueno","Sólido"))))</x:f>
        <x:v>Pendiente</x:v>
      </x:c>
      <x:c r="I31" s="75" t="str"/>
      <x:c r="J31" s="75" t="str"/>
      <x:c r="K31" s="79" t="str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 ht="54" customHeight="1">
      <x:c r="A32" s="75" t="str">
        <x:v>M9.1</x:v>
      </x:c>
      <x:c r="B32" s="75" t="str">
        <x:v>Módulo 9 - Adaptación al equipo</x:v>
      </x:c>
      <x:c r="C32" s="75" t="str">
        <x:v>Muestra disposición para aprender y sostener hábitos de mejora.</x:v>
      </x:c>
      <x:c r="D32" s="75" t="str">
        <x:v>Mantiene constancia en entregables, dudas y revisión de observaciones.</x:v>
      </x:c>
      <x:c r="E32" s="76" t="n">
        <x:v>10</x:v>
      </x:c>
      <x:c r="F32" s="77" t="str"/>
      <x:c r="G32" s="76" t="str">
        <x:f>IF(F32="","",F32*E32)</x:f>
      </x:c>
      <x:c r="H32" s="78" t="str">
        <x:f>IF(F32="","Pendiente",IF(F32&lt;3,"Reforzar",IF(F32&lt;4,"Aceptable",IF(F32&lt;5,"Bueno","Sólido"))))</x:f>
        <x:v>Pendiente</x:v>
      </x:c>
      <x:c r="I32" s="75" t="str"/>
      <x:c r="J32" s="75" t="str"/>
      <x:c r="K32" s="79" t="str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 ht="54" customHeight="1">
      <x:c r="A33" s="75" t="str">
        <x:v>M9.2</x:v>
      </x:c>
      <x:c r="B33" s="75" t="str">
        <x:v>Módulo 9 - Adaptación al equipo</x:v>
      </x:c>
      <x:c r="C33" s="75" t="str">
        <x:v>Trabaja con autonomía progresiva en tareas acotadas.</x:v>
      </x:c>
      <x:c r="D33" s="75" t="str">
        <x:v>Toma una tarea pequeña, la divide, pide ayuda con contexto y entrega evidencia.</x:v>
      </x:c>
      <x:c r="E33" s="76" t="n">
        <x:v>12</x:v>
      </x:c>
      <x:c r="F33" s="77" t="str"/>
      <x:c r="G33" s="76" t="str">
        <x:f>IF(F33="","",F33*E33)</x:f>
      </x:c>
      <x:c r="H33" s="78" t="str">
        <x:f>IF(F33="","Pendiente",IF(F33&lt;3,"Reforzar",IF(F33&lt;4,"Aceptable",IF(F33&lt;5,"Bueno","Sólido"))))</x:f>
        <x:v>Pendiente</x:v>
      </x:c>
      <x:c r="I33" s="75" t="str"/>
      <x:c r="J33" s="75" t="str"/>
      <x:c r="K33" s="79" t="str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 ht="54" customHeight="1">
      <x:c r="A34" s="75" t="str">
        <x:v>M9.3</x:v>
      </x:c>
      <x:c r="B34" s="75" t="str">
        <x:v>Módulo 9 - Adaptación al equipo</x:v>
      </x:c>
      <x:c r="C34" s="75" t="str">
        <x:v>Cuida la calidad mínima antes de entregar.</x:v>
      </x:c>
      <x:c r="D34" s="75" t="str">
        <x:v>Revisa formato, funcionamiento, claridad y supuestos antes de pedir revisión.</x:v>
      </x:c>
      <x:c r="E34" s="76" t="n">
        <x:v>10</x:v>
      </x:c>
      <x:c r="F34" s="77" t="str"/>
      <x:c r="G34" s="76" t="str">
        <x:f>IF(F34="","",F34*E34)</x:f>
      </x:c>
      <x:c r="H34" s="78" t="str">
        <x:f>IF(F34="","Pendiente",IF(F34&lt;3,"Reforzar",IF(F34&lt;4,"Aceptable",IF(F34&lt;5,"Bueno","Sólido"))))</x:f>
        <x:v>Pendiente</x:v>
      </x:c>
      <x:c r="I34" s="75" t="str"/>
      <x:c r="J34" s="75" t="str"/>
      <x:c r="K34" s="79" t="str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K1"/>
    <x:mergeCell ref="A2:K2"/>
  </x:mergeCells>
  <x:conditionalFormatting sqref="H5:H34">
    <x:cfRule type="expression" dxfId="0" priority="1">
      <x:formula>H5="Reforzar"</x:formula>
    </x:cfRule>
    <x:cfRule type="expression" dxfId="1" priority="2">
      <x:formula>H5="Aceptable"</x:formula>
    </x:cfRule>
    <x:cfRule type="expression" dxfId="2" priority="3">
      <x:formula>H5="Bueno"</x:formula>
    </x:cfRule>
    <x:cfRule type="expression" dxfId="3" priority="4">
      <x:formula>H5="Sólido"</x:formula>
    </x:cfRule>
  </x:conditionalFormatting>
  <x:conditionalFormatting sqref="F5:F34">
    <x:cfRule type="colorScale" priority="5">
      <x:colorScale>
        <x:cfvo type="min"/>
        <x:cfvo type="percentile" val="50"/>
        <x:cfvo type="max"/>
        <x:color rgb="FCA5A5"/>
        <x:color rgb="FEF3C7"/>
        <x:color rgb="86EFAC"/>
      </x:colorScale>
    </x:cfRule>
  </x:conditionalFormatting>
  <x:dataValidations count="1">
    <x:dataValidation type="list" sqref="F5:F34">
      <x:formula1>Catalogos!$A$2:$A$6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74f687e1c4b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45" hidden="0" customWidth="1"/>
    <x:col min="4" max="4" width="55" hidden="0" customWidth="1"/>
    <x:col min="5" max="5" width="45" hidden="0" customWidth="1"/>
  </x:cols>
  <x:sheetData>
    <x:row r="1">
      <x:c r="A1" s="88" t="str">
        <x:v>Rúbrica de evaluación 1 a 5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90" t="str">
        <x:v>Puntaje</x:v>
      </x:c>
      <x:c r="B3" s="90" t="str">
        <x:v>Nivel</x:v>
      </x:c>
      <x:c r="C3" s="90" t="str">
        <x:v>Criterio general</x:v>
      </x:c>
      <x:c r="D3" s="90" t="str">
        <x:v>Evidencia esperada</x:v>
      </x:c>
      <x:c r="E3" s="90" t="str">
        <x:v>Lectura de liderazgo</x:v>
      </x:c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86" t="n">
        <x:v>1</x:v>
      </x:c>
      <x:c r="B4" s="61" t="str">
        <x:v>Inicial</x:v>
      </x:c>
      <x:c r="C4" s="61" t="str">
        <x:v>Comprensión insuficiente del criterio evaluado.</x:v>
      </x:c>
      <x:c r="D4" s="61" t="str">
        <x:v>La entrega es incompleta, no logra explicar el razonamiento o depende totalmente de instrucciones externas.</x:v>
      </x:c>
      <x:c r="E4" s="61" t="str">
        <x:v>Requiere acompañamiento cercano antes de tomar tareas técnicas.</x:v>
      </x:c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86" t="n">
        <x:v>2</x:v>
      </x:c>
      <x:c r="B5" s="61" t="str">
        <x:v>Básico</x:v>
      </x:c>
      <x:c r="C5" s="61" t="str">
        <x:v>Tiene nociones parciales, pero todavía no logra aplicarlas con consistencia.</x:v>
      </x:c>
      <x:c r="D5" s="61" t="str">
        <x:v>Entrega algo funcional o conceptual, pero con vacíos relevantes, poca claridad o baja autonomía.</x:v>
      </x:c>
      <x:c r="E5" s="61" t="str">
        <x:v>Puede avanzar en tareas simples con guía frecuente.</x:v>
      </x:c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86" t="n">
        <x:v>3</x:v>
      </x:c>
      <x:c r="B6" s="61" t="str">
        <x:v>Aceptable</x:v>
      </x:c>
      <x:c r="C6" s="61" t="str">
        <x:v>Cumple el mínimo esperado para continuar el proceso de adaptación.</x:v>
      </x:c>
      <x:c r="D6" s="61" t="str">
        <x:v>Explica lo esencial, reconoce límites, documenta dudas y corrige observaciones puntuales.</x:v>
      </x:c>
      <x:c r="E6" s="61" t="str">
        <x:v>Puede asumir tareas acotadas y revisadas.</x:v>
      </x:c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86" t="n">
        <x:v>4</x:v>
      </x:c>
      <x:c r="B7" s="61" t="str">
        <x:v>Bueno</x:v>
      </x:c>
      <x:c r="C7" s="61" t="str">
        <x:v>Aplica el criterio con autonomía parcial y buena comunicación.</x:v>
      </x:c>
      <x:c r="D7" s="61" t="str">
        <x:v>Justifica decisiones, muestra progreso, solicita apoyo con contexto y realiza ajustes razonables.</x:v>
      </x:c>
      <x:c r="E7" s="61" t="str">
        <x:v>Puede recibir tareas pequeñas con seguimiento periódico.</x:v>
      </x:c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86" t="n">
        <x:v>5</x:v>
      </x:c>
      <x:c r="B8" s="61" t="str">
        <x:v>Sólido</x:v>
      </x:c>
      <x:c r="C8" s="61" t="str">
        <x:v>Demuestra criterio profesional, aprendizaje activo y comunicación madura.</x:v>
      </x:c>
      <x:c r="D8" s="61" t="str">
        <x:v>Entrega evidencia clara, explica alternativas, valida resultados y propone mejoras sin perder foco.</x:v>
      </x:c>
      <x:c r="E8" s="61" t="str">
        <x:v>Puede integrarse progresivamente a tareas de mayor responsabilidad.</x:v>
      </x:c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55" hidden="0" customWidth="1"/>
    <x:col min="6" max="6" width="18" hidden="0" customWidth="1"/>
    <x:col min="8" max="8" width="24" hidden="0" customWidth="1"/>
  </x:cols>
  <x:sheetData>
    <x:row r="1">
      <x:c r="A1" s="90" t="str">
        <x:v>Puntaje</x:v>
      </x:c>
      <x:c r="B1" s="90" t="str">
        <x:v>Nivel</x:v>
      </x:c>
      <x:c r="C1" s="90" t="str">
        <x:v>Estado</x:v>
      </x:c>
      <x:c r="D1" s="90" t="str">
        <x:v>Descripción corta</x:v>
      </x:c>
      <x:c r="E1" s="61"/>
      <x:c r="F1" s="90" t="str">
        <x:v>Estados</x:v>
      </x:c>
      <x:c r="G1" s="61"/>
      <x:c r="H1" s="90" t="str">
        <x:v>Decisión sugerida</x:v>
      </x:c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61" t="n">
        <x:v>1</x:v>
      </x:c>
      <x:c r="B2" s="61" t="str">
        <x:v>Inicial</x:v>
      </x:c>
      <x:c r="C2" s="61" t="str">
        <x:v>Reforzar</x:v>
      </x:c>
      <x:c r="D2" s="61" t="str">
        <x:v>No evidencia comprensión suficiente o requiere guía constante.</x:v>
      </x:c>
      <x:c r="E2" s="61"/>
      <x:c r="F2" s="61" t="str">
        <x:v>Pendiente</x:v>
      </x:c>
      <x:c r="G2" s="61"/>
      <x:c r="H2" s="61" t="str">
        <x:v>Continuar</x:v>
      </x:c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61" t="n">
        <x:v>2</x:v>
      </x:c>
      <x:c r="B3" s="61" t="str">
        <x:v>Básico</x:v>
      </x:c>
      <x:c r="C3" s="61" t="str">
        <x:v>Reforzar</x:v>
      </x:c>
      <x:c r="D3" s="61" t="str">
        <x:v>Comprende parcialmente, pero necesita acompañamiento frecuente.</x:v>
      </x:c>
      <x:c r="E3" s="61"/>
      <x:c r="F3" s="61" t="str">
        <x:v>Reforzar</x:v>
      </x:c>
      <x:c r="G3" s="61"/>
      <x:c r="H3" s="61" t="str">
        <x:v>Reforzar bases</x:v>
      </x:c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61" t="n">
        <x:v>3</x:v>
      </x:c>
      <x:c r="B4" s="61" t="str">
        <x:v>Aceptable</x:v>
      </x:c>
      <x:c r="C4" s="61" t="str">
        <x:v>Aceptable</x:v>
      </x:c>
      <x:c r="D4" s="61" t="str">
        <x:v>Cumple el mínimo esperado con explicación básica y avance verificable.</x:v>
      </x:c>
      <x:c r="E4" s="61"/>
      <x:c r="F4" s="61" t="str">
        <x:v>Aceptable</x:v>
      </x:c>
      <x:c r="G4" s="61"/>
      <x:c r="H4" s="61" t="str">
        <x:v>Asignar mentoría</x:v>
      </x:c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61" t="n">
        <x:v>4</x:v>
      </x:c>
      <x:c r="B5" s="61" t="str">
        <x:v>Bueno</x:v>
      </x:c>
      <x:c r="C5" s="61" t="str">
        <x:v>Bueno</x:v>
      </x:c>
      <x:c r="D5" s="61" t="str">
        <x:v>Trabaja con autonomía parcial, explica decisiones y corrige observaciones.</x:v>
      </x:c>
      <x:c r="E5" s="61"/>
      <x:c r="F5" s="61" t="str">
        <x:v>Bueno</x:v>
      </x:c>
      <x:c r="G5" s="61"/>
      <x:c r="H5" s="61" t="str">
        <x:v>Reevaluar asignación</x:v>
      </x:c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61" t="n">
        <x:v>5</x:v>
      </x:c>
      <x:c r="B6" s="61" t="str">
        <x:v>Sólido</x:v>
      </x:c>
      <x:c r="C6" s="61" t="str">
        <x:v>Sólido</x:v>
      </x:c>
      <x:c r="D6" s="61" t="str">
        <x:v>Demuestra criterio, autonomía responsable, comunicación clara y mejora continua.</x:v>
      </x:c>
      <x:c r="E6" s="61"/>
      <x:c r="F6" s="61" t="str">
        <x:v>Sólido</x:v>
      </x:c>
      <x:c r="G6" s="61"/>
      <x:c r="H6" s="61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61"/>
      <x:c r="B7" s="61"/>
      <x:c r="C7" s="61"/>
      <x:c r="D7" s="61"/>
      <x:c r="E7" s="61"/>
      <x:c r="F7" s="61"/>
      <x:c r="G7" s="61"/>
      <x:c r="H7" s="61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61"/>
      <x:c r="B8" s="61"/>
      <x:c r="C8" s="61"/>
      <x:c r="D8" s="61"/>
      <x:c r="E8" s="61"/>
      <x:c r="F8" s="61"/>
      <x:c r="G8" s="61"/>
      <x:c r="H8" s="61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61"/>
      <x:c r="B9" s="61"/>
      <x:c r="C9" s="61"/>
      <x:c r="D9" s="61"/>
      <x:c r="E9" s="61"/>
      <x:c r="F9" s="61"/>
      <x:c r="G9" s="61"/>
      <x:c r="H9" s="61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pageMargins left="0.7" right="0.7" top="0.75" bottom="0.75" header="0.3" footer="0.3"/>
</x:worksheet>
</file>